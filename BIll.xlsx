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b7fd61cfdd2175/Desktop/Excel-code/"/>
    </mc:Choice>
  </mc:AlternateContent>
  <xr:revisionPtr revIDLastSave="13" documentId="8_{DA4097FA-FD5C-4023-955C-F129777F23F8}" xr6:coauthVersionLast="47" xr6:coauthVersionMax="47" xr10:uidLastSave="{4946DCFA-D460-4E1A-AE7A-76B43016E473}"/>
  <bookViews>
    <workbookView xWindow="-96" yWindow="0" windowWidth="11712" windowHeight="12336" xr2:uid="{7431F3E1-9DAB-4399-BCC7-73A72CD90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D16" i="1"/>
  <c r="E16" i="1"/>
  <c r="F16" i="1"/>
  <c r="D17" i="1"/>
  <c r="E17" i="1" s="1"/>
  <c r="D18" i="1"/>
  <c r="F18" i="1" s="1"/>
  <c r="E18" i="1"/>
  <c r="D19" i="1"/>
  <c r="E19" i="1"/>
  <c r="F19" i="1"/>
  <c r="D20" i="1"/>
  <c r="E20" i="1" s="1"/>
  <c r="D21" i="1"/>
  <c r="E21" i="1" s="1"/>
  <c r="D22" i="1"/>
  <c r="E22" i="1"/>
  <c r="F22" i="1" s="1"/>
  <c r="D23" i="1"/>
  <c r="E23" i="1"/>
  <c r="F23" i="1"/>
  <c r="F15" i="1"/>
  <c r="E15" i="1"/>
  <c r="D15" i="1"/>
  <c r="F20" i="1" l="1"/>
  <c r="F21" i="1"/>
  <c r="F17" i="1"/>
</calcChain>
</file>

<file path=xl/sharedStrings.xml><?xml version="1.0" encoding="utf-8"?>
<sst xmlns="http://schemas.openxmlformats.org/spreadsheetml/2006/main" count="26" uniqueCount="25">
  <si>
    <t>Qty</t>
  </si>
  <si>
    <t>Rate</t>
  </si>
  <si>
    <t>Amount</t>
  </si>
  <si>
    <t>GST</t>
  </si>
  <si>
    <t>Total Amount</t>
  </si>
  <si>
    <t>Item name</t>
  </si>
  <si>
    <r>
      <rPr>
        <b/>
        <sz val="20"/>
        <color theme="3" tint="-0.499984740745262"/>
        <rFont val="Calibri"/>
        <family val="2"/>
        <scheme val="minor"/>
      </rPr>
      <t xml:space="preserve">QUANTA SALES AND SERVICE LIMTED </t>
    </r>
    <r>
      <rPr>
        <b/>
        <sz val="20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
</t>
    </r>
    <r>
      <rPr>
        <b/>
        <sz val="11"/>
        <color theme="1"/>
        <rFont val="Calibri"/>
        <family val="2"/>
        <scheme val="minor"/>
      </rPr>
      <t xml:space="preserve">Add.Marwan, Muzaffarpur 343113 (Contact No. +91 3458978423)
</t>
    </r>
    <r>
      <rPr>
        <b/>
        <sz val="12"/>
        <color rgb="FFC00000"/>
        <rFont val="Calibri"/>
        <family val="2"/>
        <scheme val="minor"/>
      </rPr>
      <t>GSTIN: 092ABCDE8431J1X3</t>
    </r>
    <r>
      <rPr>
        <sz val="11"/>
        <color theme="1"/>
        <rFont val="Calibri"/>
        <family val="2"/>
        <scheme val="minor"/>
      </rPr>
      <t xml:space="preserve">
</t>
    </r>
  </si>
  <si>
    <t>To</t>
  </si>
  <si>
    <t>Haricharan Sharma</t>
  </si>
  <si>
    <t>Kanti</t>
  </si>
  <si>
    <t>Date:22/12/25</t>
  </si>
  <si>
    <t>Cabinate rgd</t>
  </si>
  <si>
    <t>Asus Mother Board</t>
  </si>
  <si>
    <t>Intel CPUi9 11th Gen</t>
  </si>
  <si>
    <t>SMPS 450 W</t>
  </si>
  <si>
    <t>RAM 16GB DDR4</t>
  </si>
  <si>
    <t>SSD 512GB nvme</t>
  </si>
  <si>
    <t>Keyboard</t>
  </si>
  <si>
    <t>Mouse</t>
  </si>
  <si>
    <t>TFT Acer 16"</t>
  </si>
  <si>
    <t>Sub Total</t>
  </si>
  <si>
    <t>SGST 9%</t>
  </si>
  <si>
    <t>CGST 9%</t>
  </si>
  <si>
    <r>
      <rPr>
        <b/>
        <sz val="11"/>
        <color theme="1"/>
        <rFont val="Calibri"/>
        <family val="2"/>
        <scheme val="minor"/>
      </rPr>
      <t>Bank Details</t>
    </r>
    <r>
      <rPr>
        <sz val="11"/>
        <color theme="1"/>
        <rFont val="Calibri"/>
        <family val="2"/>
        <scheme val="minor"/>
      </rPr>
      <t xml:space="preserve"> 
Quanta Sales and Service Limted
Central Bank
</t>
    </r>
    <r>
      <rPr>
        <b/>
        <sz val="11"/>
        <color theme="1"/>
        <rFont val="Calibri"/>
        <family val="2"/>
        <scheme val="minor"/>
      </rPr>
      <t>A/C No. 6204333122
IFSC Code: CBINO2345610</t>
    </r>
  </si>
  <si>
    <t>(Signature)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</si>
</sst>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3C98-1B96-470F-B27A-8E9E18F676CF}">
  <dimension ref="A2:G41"/>
  <sheetViews>
    <sheetView tabSelected="1" topLeftCell="A12" workbookViewId="0">
      <selection activeCell="F15" sqref="F15:F23"/>
    </sheetView>
  </sheetViews>
  <sheetFormatPr defaultRowHeight="14.4" x14ac:dyDescent="0.3"/>
  <cols>
    <col min="1" max="1" width="24.109375" customWidth="1"/>
    <col min="2" max="2" width="7.44140625" customWidth="1"/>
    <col min="4" max="4" width="8.88671875" customWidth="1"/>
    <col min="6" max="6" width="12.6640625" customWidth="1"/>
    <col min="9" max="9" width="8.88671875" customWidth="1"/>
  </cols>
  <sheetData>
    <row r="2" spans="1:7" x14ac:dyDescent="0.3">
      <c r="A2" s="3" t="s">
        <v>6</v>
      </c>
      <c r="B2" s="4"/>
      <c r="C2" s="4"/>
      <c r="D2" s="4"/>
      <c r="E2" s="4"/>
      <c r="F2" s="4"/>
      <c r="G2" s="4"/>
    </row>
    <row r="3" spans="1:7" x14ac:dyDescent="0.3">
      <c r="A3" s="4"/>
      <c r="B3" s="4"/>
      <c r="C3" s="4"/>
      <c r="D3" s="4"/>
      <c r="E3" s="4"/>
      <c r="F3" s="4"/>
      <c r="G3" s="4"/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5"/>
      <c r="B6" s="5"/>
      <c r="C6" s="5"/>
      <c r="D6" s="5"/>
      <c r="E6" s="5"/>
      <c r="F6" s="5"/>
      <c r="G6" s="5"/>
    </row>
    <row r="9" spans="1:7" x14ac:dyDescent="0.3">
      <c r="A9" s="1" t="s">
        <v>7</v>
      </c>
      <c r="E9" s="6" t="s">
        <v>10</v>
      </c>
      <c r="F9" s="6"/>
    </row>
    <row r="10" spans="1:7" x14ac:dyDescent="0.3">
      <c r="A10" s="1" t="s">
        <v>8</v>
      </c>
    </row>
    <row r="11" spans="1:7" ht="13.8" customHeight="1" x14ac:dyDescent="0.3">
      <c r="A11" s="1" t="s">
        <v>9</v>
      </c>
    </row>
    <row r="12" spans="1:7" x14ac:dyDescent="0.3">
      <c r="A12" s="1">
        <v>23505</v>
      </c>
    </row>
    <row r="14" spans="1:7" x14ac:dyDescent="0.3">
      <c r="A14" s="12" t="s">
        <v>5</v>
      </c>
      <c r="B14" s="12" t="s">
        <v>0</v>
      </c>
      <c r="C14" s="12" t="s">
        <v>1</v>
      </c>
      <c r="D14" s="12" t="s">
        <v>2</v>
      </c>
      <c r="E14" s="12" t="s">
        <v>3</v>
      </c>
      <c r="F14" s="12" t="s">
        <v>4</v>
      </c>
    </row>
    <row r="15" spans="1:7" x14ac:dyDescent="0.3">
      <c r="A15" s="13" t="s">
        <v>11</v>
      </c>
      <c r="B15" s="14">
        <v>2</v>
      </c>
      <c r="C15" s="14">
        <v>2500</v>
      </c>
      <c r="D15" s="14">
        <f>B15*C15</f>
        <v>5000</v>
      </c>
      <c r="E15" s="14">
        <f>D15*18/100</f>
        <v>900</v>
      </c>
      <c r="F15" s="14">
        <f>SUM(D15,E15)</f>
        <v>5900</v>
      </c>
    </row>
    <row r="16" spans="1:7" x14ac:dyDescent="0.3">
      <c r="A16" s="13" t="s">
        <v>12</v>
      </c>
      <c r="B16" s="14">
        <v>5</v>
      </c>
      <c r="C16" s="14">
        <v>3000</v>
      </c>
      <c r="D16" s="14">
        <f t="shared" ref="D16:D23" si="0">B16*C16</f>
        <v>15000</v>
      </c>
      <c r="E16" s="14">
        <f t="shared" ref="E16:E23" si="1">D16*18/100</f>
        <v>2700</v>
      </c>
      <c r="F16" s="14">
        <f t="shared" ref="F16:F23" si="2">SUM(D16,E16)</f>
        <v>17700</v>
      </c>
    </row>
    <row r="17" spans="1:6" x14ac:dyDescent="0.3">
      <c r="A17" s="13" t="s">
        <v>13</v>
      </c>
      <c r="B17" s="14">
        <v>2</v>
      </c>
      <c r="C17" s="14">
        <v>7000</v>
      </c>
      <c r="D17" s="14">
        <f t="shared" si="0"/>
        <v>14000</v>
      </c>
      <c r="E17" s="14">
        <f t="shared" si="1"/>
        <v>2520</v>
      </c>
      <c r="F17" s="14">
        <f t="shared" si="2"/>
        <v>16520</v>
      </c>
    </row>
    <row r="18" spans="1:6" x14ac:dyDescent="0.3">
      <c r="A18" s="13" t="s">
        <v>14</v>
      </c>
      <c r="B18" s="14">
        <v>1</v>
      </c>
      <c r="C18" s="14">
        <v>30000</v>
      </c>
      <c r="D18" s="14">
        <f t="shared" si="0"/>
        <v>30000</v>
      </c>
      <c r="E18" s="14">
        <f t="shared" si="1"/>
        <v>5400</v>
      </c>
      <c r="F18" s="14">
        <f t="shared" si="2"/>
        <v>35400</v>
      </c>
    </row>
    <row r="19" spans="1:6" x14ac:dyDescent="0.3">
      <c r="A19" s="13" t="s">
        <v>15</v>
      </c>
      <c r="B19" s="14">
        <v>2</v>
      </c>
      <c r="C19" s="14">
        <v>3500</v>
      </c>
      <c r="D19" s="14">
        <f t="shared" si="0"/>
        <v>7000</v>
      </c>
      <c r="E19" s="14">
        <f t="shared" si="1"/>
        <v>1260</v>
      </c>
      <c r="F19" s="14">
        <f t="shared" si="2"/>
        <v>8260</v>
      </c>
    </row>
    <row r="20" spans="1:6" x14ac:dyDescent="0.3">
      <c r="A20" s="13" t="s">
        <v>16</v>
      </c>
      <c r="B20" s="14">
        <v>4</v>
      </c>
      <c r="C20" s="14">
        <v>4200</v>
      </c>
      <c r="D20" s="14">
        <f t="shared" si="0"/>
        <v>16800</v>
      </c>
      <c r="E20" s="14">
        <f t="shared" si="1"/>
        <v>3024</v>
      </c>
      <c r="F20" s="14">
        <f t="shared" si="2"/>
        <v>19824</v>
      </c>
    </row>
    <row r="21" spans="1:6" x14ac:dyDescent="0.3">
      <c r="A21" s="13" t="s">
        <v>17</v>
      </c>
      <c r="B21" s="14">
        <v>1</v>
      </c>
      <c r="C21" s="14">
        <v>5200</v>
      </c>
      <c r="D21" s="14">
        <f t="shared" si="0"/>
        <v>5200</v>
      </c>
      <c r="E21" s="14">
        <f t="shared" si="1"/>
        <v>936</v>
      </c>
      <c r="F21" s="14">
        <f t="shared" si="2"/>
        <v>6136</v>
      </c>
    </row>
    <row r="22" spans="1:6" x14ac:dyDescent="0.3">
      <c r="A22" s="13" t="s">
        <v>18</v>
      </c>
      <c r="B22" s="14">
        <v>3</v>
      </c>
      <c r="C22" s="14">
        <v>600</v>
      </c>
      <c r="D22" s="14">
        <f t="shared" si="0"/>
        <v>1800</v>
      </c>
      <c r="E22" s="14">
        <f t="shared" si="1"/>
        <v>324</v>
      </c>
      <c r="F22" s="14">
        <f t="shared" si="2"/>
        <v>2124</v>
      </c>
    </row>
    <row r="23" spans="1:6" x14ac:dyDescent="0.3">
      <c r="A23" s="13" t="s">
        <v>19</v>
      </c>
      <c r="B23" s="14">
        <v>3</v>
      </c>
      <c r="C23" s="14">
        <v>300</v>
      </c>
      <c r="D23" s="14">
        <f t="shared" si="0"/>
        <v>900</v>
      </c>
      <c r="E23" s="14">
        <f t="shared" si="1"/>
        <v>162</v>
      </c>
      <c r="F23" s="14">
        <f t="shared" si="2"/>
        <v>1062</v>
      </c>
    </row>
    <row r="26" spans="1:6" x14ac:dyDescent="0.3">
      <c r="A26" s="7" t="s">
        <v>20</v>
      </c>
      <c r="B26">
        <f>SUM(D15:D23)</f>
        <v>95700</v>
      </c>
    </row>
    <row r="27" spans="1:6" x14ac:dyDescent="0.3">
      <c r="A27" s="7" t="s">
        <v>21</v>
      </c>
      <c r="B27">
        <f>B26*9/100</f>
        <v>8613</v>
      </c>
    </row>
    <row r="28" spans="1:6" x14ac:dyDescent="0.3">
      <c r="A28" s="7" t="s">
        <v>22</v>
      </c>
      <c r="B28">
        <f>B26*9/100</f>
        <v>8613</v>
      </c>
    </row>
    <row r="29" spans="1:6" x14ac:dyDescent="0.3">
      <c r="A29" s="8" t="s">
        <v>4</v>
      </c>
      <c r="B29">
        <f>SUM(B26:B28)</f>
        <v>112926</v>
      </c>
    </row>
    <row r="36" spans="1:5" x14ac:dyDescent="0.3">
      <c r="A36" s="9"/>
      <c r="B36" s="9"/>
    </row>
    <row r="37" spans="1:5" x14ac:dyDescent="0.3">
      <c r="A37" s="10" t="s">
        <v>23</v>
      </c>
      <c r="B37" s="11"/>
    </row>
    <row r="38" spans="1:5" x14ac:dyDescent="0.3">
      <c r="A38" s="11"/>
      <c r="B38" s="11"/>
      <c r="D38" s="2" t="s">
        <v>24</v>
      </c>
      <c r="E38" s="2"/>
    </row>
    <row r="39" spans="1:5" x14ac:dyDescent="0.3">
      <c r="A39" s="11"/>
      <c r="B39" s="11"/>
      <c r="D39" s="2"/>
      <c r="E39" s="2"/>
    </row>
    <row r="40" spans="1:5" x14ac:dyDescent="0.3">
      <c r="A40" s="11"/>
      <c r="B40" s="11"/>
      <c r="D40" s="2"/>
      <c r="E40" s="2"/>
    </row>
    <row r="41" spans="1:5" x14ac:dyDescent="0.3">
      <c r="A41" s="11"/>
      <c r="B41" s="11"/>
      <c r="D41" s="2"/>
      <c r="E41" s="2"/>
    </row>
  </sheetData>
  <mergeCells count="4">
    <mergeCell ref="A2:G6"/>
    <mergeCell ref="E9:F9"/>
    <mergeCell ref="A37:B41"/>
    <mergeCell ref="D38:E41"/>
  </mergeCells>
  <pageMargins left="0.27559055118110237" right="0.27559055118110237" top="0.19685039370078741" bottom="0.19685039370078741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2025-12-26T02:24:25Z</dcterms:created>
  <dcterms:modified xsi:type="dcterms:W3CDTF">2025-12-26T03:34:28Z</dcterms:modified>
</cp:coreProperties>
</file>